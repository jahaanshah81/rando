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677618\Desktop\flathunting\"/>
    </mc:Choice>
  </mc:AlternateContent>
  <xr:revisionPtr revIDLastSave="0" documentId="13_ncr:1_{5B05D121-AEF1-4392-9F85-310D7950818D}" xr6:coauthVersionLast="47" xr6:coauthVersionMax="47" xr10:uidLastSave="{00000000-0000-0000-0000-000000000000}"/>
  <bookViews>
    <workbookView xWindow="0" yWindow="360" windowWidth="19420" windowHeight="11500" activeTab="2" xr2:uid="{00000000-000D-0000-FFFF-FFFF00000000}"/>
  </bookViews>
  <sheets>
    <sheet name="Read Me &amp; Assumptions" sheetId="1" r:id="rId1"/>
    <sheet name="Item Comparison" sheetId="2" r:id="rId2"/>
    <sheet name="Summary &amp; Spli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3" i="3" s="1"/>
  <c r="B5" i="3"/>
  <c r="N13" i="2"/>
  <c r="K13" i="2"/>
  <c r="L13" i="2" s="1"/>
  <c r="G13" i="2"/>
  <c r="H13" i="2" s="1"/>
  <c r="D13" i="2"/>
  <c r="K12" i="2"/>
  <c r="L12" i="2" s="1"/>
  <c r="G12" i="2"/>
  <c r="H12" i="2" s="1"/>
  <c r="N12" i="2" s="1"/>
  <c r="K11" i="2"/>
  <c r="L11" i="2" s="1"/>
  <c r="N11" i="2" s="1"/>
  <c r="H11" i="2"/>
  <c r="G11" i="2"/>
  <c r="D11" i="2"/>
  <c r="N10" i="2"/>
  <c r="D10" i="2"/>
  <c r="N9" i="2"/>
  <c r="L9" i="2"/>
  <c r="K9" i="2"/>
  <c r="H9" i="2"/>
  <c r="G9" i="2"/>
  <c r="D9" i="2"/>
  <c r="G8" i="2"/>
  <c r="H8" i="2" s="1"/>
  <c r="N8" i="2" s="1"/>
  <c r="K7" i="2"/>
  <c r="L7" i="2" s="1"/>
  <c r="N7" i="2" s="1"/>
  <c r="G7" i="2"/>
  <c r="H7" i="2" s="1"/>
  <c r="D7" i="2"/>
  <c r="G6" i="2"/>
  <c r="H6" i="2" s="1"/>
  <c r="N6" i="2" s="1"/>
  <c r="G5" i="2"/>
  <c r="H5" i="2" s="1"/>
  <c r="N5" i="2" s="1"/>
  <c r="K4" i="2"/>
  <c r="L4" i="2" s="1"/>
  <c r="N4" i="2" s="1"/>
  <c r="N15" i="2" s="1"/>
  <c r="B7" i="3" s="1"/>
  <c r="B8" i="3" s="1"/>
  <c r="G4" i="2"/>
  <c r="H4" i="2" s="1"/>
  <c r="D4" i="2"/>
  <c r="B10" i="3" l="1"/>
</calcChain>
</file>

<file path=xl/sharedStrings.xml><?xml version="1.0" encoding="utf-8"?>
<sst xmlns="http://schemas.openxmlformats.org/spreadsheetml/2006/main" count="149" uniqueCount="112">
  <si>
    <t>Flat Furnishing — Rent vs Buy New vs Buy Second-Hand Tracker</t>
  </si>
  <si>
    <t>Context</t>
  </si>
  <si>
    <t>City / Locality</t>
  </si>
  <si>
    <t>Bengaluru — Sarjapur / Bellandur belt</t>
  </si>
  <si>
    <t>Household size</t>
  </si>
  <si>
    <t>3 flatmates (3BHK, rent ₹60,000/month → ₹20,000/head)</t>
  </si>
  <si>
    <t>Planned stay</t>
  </si>
  <si>
    <t>24 months</t>
  </si>
  <si>
    <t>Buyer profile</t>
  </si>
  <si>
    <t>Bachelors — budget/economical picks, no premium brands needed</t>
  </si>
  <si>
    <t>Research date</t>
  </si>
  <si>
    <t>July 2026</t>
  </si>
  <si>
    <t>How to use this workbook</t>
  </si>
  <si>
    <t>1.</t>
  </si>
  <si>
    <t>Go to 'Item Comparison' — every furnishing item has 3 priced options: Rent, Buy New, Buy Second-Hand.</t>
  </si>
  <si>
    <t>2.</t>
  </si>
  <si>
    <t>'Net cost' for buy options = Purchase price minus an assumed resale value when you vacate after 24 months.</t>
  </si>
  <si>
    <t>3.</t>
  </si>
  <si>
    <t>'Monthly equivalent' = Net cost / 24 — this is what makes Rent vs Buy comparable on the same footing.</t>
  </si>
  <si>
    <t>4.</t>
  </si>
  <si>
    <t>The 'Recommended' column is pre-picked to the cheapest realistic option (factoring in reliability/safety), but is a plain dropdown you can override — all totals recalc automatically.</t>
  </si>
  <si>
    <t>5.</t>
  </si>
  <si>
    <t>'Summary &amp; Split' shows the total extra monthly cost per person, on top of the ₹20,000 rent share.</t>
  </si>
  <si>
    <t>Key assumptions used for 'Net Cost' math</t>
  </si>
  <si>
    <t>Resale % — Buy New items</t>
  </si>
  <si>
    <t>~35-40% of new price recovered after 24 months (moderate bachelor-grade wear)</t>
  </si>
  <si>
    <t>Resale % — Buy Second-hand items</t>
  </si>
  <si>
    <t>~20-30% of what you paid recovered after a further 24 months of use</t>
  </si>
  <si>
    <t>Items with no resale market</t>
  </si>
  <si>
    <t>Bird net, curtains, cloth-drying hangers — treated as fully consumed (₹0 residual)</t>
  </si>
  <si>
    <t>RO purifier — Buy options</t>
  </si>
  <si>
    <t>Includes ~₹2,000/year AMC + filter cartridge cost, since this is the real hidden cost of owning a purifier</t>
  </si>
  <si>
    <t>Rental deposits</t>
  </si>
  <si>
    <t>RentoMojo/Furlenco/CityFurnish charge a refundable security deposit (typically ₹1,000-₹2,500/item) — NOT included in monthly cost since it's returned at the end, but shown as a separate note where relevant</t>
  </si>
  <si>
    <t>Sources referenced</t>
  </si>
  <si>
    <t>Second-hand pricing</t>
  </si>
  <si>
    <t>OLX Bengaluru live listings (Bellandur/Sarjapur/HSR/Whitefield area filters) for washing machines, TVs, sofas, dining sets, gas stoves, water purifiers — accessed July 2026</t>
  </si>
  <si>
    <t>Rental pricing</t>
  </si>
  <si>
    <t>Published 24-month tenure plan pricing patterns for RentoMojo, Furlenco and CityFurnish for Bengaluru — these platforms gate exact live quotes behind pincode/login, so figures reflect their well-documented public price bands for budget/economy tier furniture &amp; appliances</t>
  </si>
  <si>
    <t>New retail pricing</t>
  </si>
  <si>
    <t>Typical Flipkart/Amazon/local Sarjapur market budget-brand pricing (e.g. Xiaomi/Realme TVs, Whirlpool/Samsung entry washing machines, Nilkamal/local carpenter furniture, Prestige/Sunflame stoves, Kent/Aquaguard entry RO)</t>
  </si>
  <si>
    <t>Wifi/broadband</t>
  </si>
  <si>
    <t>ACT Fibernet / Airtel Xstream Fiber typical ~100 Mbps unlimited plans for Sarjapur/Bellandur, annual-plan pricing</t>
  </si>
  <si>
    <t>Caveat</t>
  </si>
  <si>
    <t>Live marketplace prices move week to week and vary by exact model/condition/negotiation. Treat these as a solid planning-grade estimate (±10-15%), not a locked quote. Re-check exact listings before actually transacting.</t>
  </si>
  <si>
    <t>Item-by-Item Comparison: Rent vs Buy New vs Buy Second-Hand (24-month horizon)</t>
  </si>
  <si>
    <t>Item</t>
  </si>
  <si>
    <t>Category</t>
  </si>
  <si>
    <t>Rent: Monthly (₹)</t>
  </si>
  <si>
    <t>Rent: 24-mo Total (₹)</t>
  </si>
  <si>
    <t>Buy New: Price (₹)</t>
  </si>
  <si>
    <t>Buy New: Est. Resale @24mo (₹)</t>
  </si>
  <si>
    <t>Buy New: Net Cost (₹)</t>
  </si>
  <si>
    <t>Buy New: Monthly Equiv (₹)</t>
  </si>
  <si>
    <t>Buy 2nd-Hand: Price (₹)</t>
  </si>
  <si>
    <t>Buy 2nd-Hand: Est. Resale @24mo (₹)</t>
  </si>
  <si>
    <t>Buy 2nd-Hand: Net Cost (₹)</t>
  </si>
  <si>
    <t>Buy 2nd-Hand: Monthly Equiv (₹)</t>
  </si>
  <si>
    <t>Recommended Option</t>
  </si>
  <si>
    <t>Recommended Monthly Cost (₹)</t>
  </si>
  <si>
    <t>Source / Notes</t>
  </si>
  <si>
    <t>Washing Machine (6.5kg, fully-automatic top-load)</t>
  </si>
  <si>
    <t>Appliance</t>
  </si>
  <si>
    <t>Buy Second-Hand</t>
  </si>
  <si>
    <t>Rent: RentoMojo/CityFurnish 24-mo plan band for 6.5-7kg fully-auto. New: entry Whirlpool/Samsung/LG. 2nd-hand: OLX Bengaluru median for 6-6.5kg top-load fully-auto in working condition (listings ₹5,800-₹9,000).</t>
  </si>
  <si>
    <t>Bird/Pigeon Net for Balcony (installed)</t>
  </si>
  <si>
    <t>One-time Install</t>
  </si>
  <si>
    <t>N/A</t>
  </si>
  <si>
    <t>Buy New</t>
  </si>
  <si>
    <t>No rental market for this. Local Bengaluru netting vendors: ₹35-45/sq.ft installed incl. nylon net, hooks &amp; GI wire for a ~100-110 sq.ft balcony opening. Not resellable — treated as consumed cost.</t>
  </si>
  <si>
    <t>Cloth-Drying Hangers/Stand (balcony)</t>
  </si>
  <si>
    <t>One-time Buy</t>
  </si>
  <si>
    <t>Ceiling pulley cloth-drying hanger (e.g. Bonita/local) or a wall-mount foldable rack. Not offered on rental platforms; cheap enough that buying new is simplest — no meaningful resale market.</t>
  </si>
  <si>
    <t>Dining Table (4-seater set)</t>
  </si>
  <si>
    <t>Furniture</t>
  </si>
  <si>
    <t>Rent: RentoMojo/Furlenco 4-seater engineered-wood set, 24-mo plan. New: budget Nilkamal/local carpenter 4-seater. 2nd-hand: OLX Bengaluru 'Sofa &amp; Dining' category median for basic 4-seater sets.</t>
  </si>
  <si>
    <t>Curtains — Lobby &amp; Balcony (fabric + rods)</t>
  </si>
  <si>
    <t>Not rented on these platforms. Budget ready-made curtains + rods for 3-4 openings (living/lobby windows + balcony door), basic polyester fabric, Sarjapur local shops/Amazon budget range.</t>
  </si>
  <si>
    <t>TV (32" LED Smart TV)</t>
  </si>
  <si>
    <t>Electronics</t>
  </si>
  <si>
    <t>Rent: RentoMojo/Furlenco 32" smart TV, 24-mo plan. New: budget brand (Xiaomi/Realme/Infinix) 32" smart. 2nd-hand: OLX Bengaluru listings for 32" smart TVs with balance warranty (₹8,000-₹11,000). Caution: inspect panel for dead pixels/burn-in before buying used.</t>
  </si>
  <si>
    <t>WiFi / Broadband Setup</t>
  </si>
  <si>
    <t>Utility (Subscription)</t>
  </si>
  <si>
    <t>Subscription (no buy option)</t>
  </si>
  <si>
    <t>ACT Fibernet / Airtel Xstream Fiber ~100 Mbps unlimited annual-plan pricing for Sarjapur/Bellandur. Router usually bundled; refundable deposit ~₹1,000 typically applies (excluded from monthly cost).</t>
  </si>
  <si>
    <t>Sofa (3-seater) + Center Table</t>
  </si>
  <si>
    <t>Rent: RentoMojo/Furlenco 3-seater fabric sofa (~₹1,099/mo) + center table (~₹299/mo), 24-mo plan. New: budget fabric sofa (Nilkamal/Housefull/local carpenter) + basic center table. 2nd-hand: OLX Bengaluru fabric sofa sets (₹7,500-₹10,000) + basic center table.</t>
  </si>
  <si>
    <t>Gas Stove (2-burner)</t>
  </si>
  <si>
    <t>Not available on rental platforms. New: budget Prestige/Sunflame 2-burner glass-top. 2nd-hand: OLX used stoves ~₹900-1,400. Recommend buying NEW despite ~₹33/month extra — safety-critical gas appliance, used burners/valves carry leak risk not worth the small saving.</t>
  </si>
  <si>
    <t>RO + UV Water Purifier</t>
  </si>
  <si>
    <t>Rent</t>
  </si>
  <si>
    <t>Rent: Livpure/Aquaguard/Kent all-inclusive rental (service + filter changes bundled) ~₹300-₹400/month, 24-mo plan; small refundable deposit ~₹500-1,000. Buy costs include ~₹2,000/yr AMC+filter cartridges which is the real hidden cost of ownership — renting wins on both price AND zero maintenance hassle.</t>
  </si>
  <si>
    <t>TOTAL (household, recommended picks)</t>
  </si>
  <si>
    <t>Monthly Cost Summary &amp; Per-Person Split</t>
  </si>
  <si>
    <t>Number of flatmates</t>
  </si>
  <si>
    <t>Change this if your headcount changes — everything below recalculates</t>
  </si>
  <si>
    <t>Monthly rent (total, 3BHK)</t>
  </si>
  <si>
    <t>Monthly rent — per person</t>
  </si>
  <si>
    <t>Total furnishing extra cost — per month (household)</t>
  </si>
  <si>
    <t>Pulled live from Item Comparison sheet totals row</t>
  </si>
  <si>
    <t>Total furnishing extra cost — per person / month</t>
  </si>
  <si>
    <t>GRAND TOTAL per person / month (rent + furnishing)</t>
  </si>
  <si>
    <t>This is what each flatmate actually pays monthly</t>
  </si>
  <si>
    <t>One-time upfront cash needed (household, recommended picks)</t>
  </si>
  <si>
    <t>Sum of Buy New / Buy Second-Hand purchase prices for items you actually buy</t>
  </si>
  <si>
    <t>One-time upfront cash — per person</t>
  </si>
  <si>
    <t>Notes</t>
  </si>
  <si>
    <t>• 'Recommended Option' per item can be changed on the 'Item Comparison' sheet (dropdown in column M) — all totals here update automatically.</t>
  </si>
  <si>
    <t>• RO purifier is the one item where Rent genuinely wins on both price and hassle — filter service/replacement is bundled.</t>
  </si>
  <si>
    <t>• Gas stove recommends Buy New over the cheaper second-hand option purely for gas-safety reasons (worn valves/burners risk).</t>
  </si>
  <si>
    <t>• Wifi is a recurring subscription, not a rent-vs-buy decision, but it's included in the monthly total since it's a real monthly cost.</t>
  </si>
  <si>
    <t>• Rental security deposits (typically ₹1,000-₹2,500 per rented item, refundable) are NOT included in the monthly totals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</si>
</sst>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.5"/>
      <name val="Calibri"/>
    </font>
    <font>
      <sz val="10.5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i/>
      <sz val="10.5"/>
      <color rgb="FFA6A6A6"/>
      <name val="Calibri"/>
    </font>
    <font>
      <b/>
      <sz val="11"/>
      <name val="Calibri"/>
    </font>
    <font>
      <b/>
      <sz val="11"/>
      <color rgb="FF1F4E78"/>
      <name val="Calibri"/>
    </font>
    <font>
      <i/>
      <sz val="9.5"/>
      <color rgb="FF595959"/>
      <name val="Calibri"/>
    </font>
    <font>
      <b/>
      <sz val="13"/>
      <color rgb="FFC00000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/>
    <xf numFmtId="164" fontId="3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/>
    <xf numFmtId="0" fontId="0" fillId="5" borderId="1" xfId="0" applyFill="1" applyBorder="1"/>
    <xf numFmtId="0" fontId="2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5" borderId="1" xfId="0" applyFont="1" applyFill="1" applyBorder="1"/>
    <xf numFmtId="0" fontId="0" fillId="0" borderId="2" xfId="0" applyBorder="1"/>
    <xf numFmtId="0" fontId="0" fillId="0" borderId="3" xfId="0" applyBorder="1"/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10"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sqref="A1:F1"/>
    </sheetView>
  </sheetViews>
  <sheetFormatPr defaultRowHeight="14.5" x14ac:dyDescent="0.35"/>
  <cols>
    <col min="1" max="1" width="34" customWidth="1"/>
    <col min="2" max="6" width="20" customWidth="1"/>
  </cols>
  <sheetData>
    <row r="1" spans="1:6" ht="30" customHeight="1" x14ac:dyDescent="0.35">
      <c r="A1" s="25" t="s">
        <v>0</v>
      </c>
      <c r="B1" s="26"/>
      <c r="C1" s="26"/>
      <c r="D1" s="26"/>
      <c r="E1" s="26"/>
      <c r="F1" s="26"/>
    </row>
    <row r="3" spans="1:6" x14ac:dyDescent="0.35">
      <c r="A3" s="1"/>
      <c r="B3" s="2"/>
    </row>
    <row r="4" spans="1:6" ht="15.5" x14ac:dyDescent="0.35">
      <c r="A4" s="3" t="s">
        <v>1</v>
      </c>
    </row>
    <row r="5" spans="1:6" ht="28" x14ac:dyDescent="0.35">
      <c r="A5" s="1" t="s">
        <v>2</v>
      </c>
      <c r="B5" s="2" t="s">
        <v>3</v>
      </c>
    </row>
    <row r="6" spans="1:6" ht="42" x14ac:dyDescent="0.35">
      <c r="A6" s="1" t="s">
        <v>4</v>
      </c>
      <c r="B6" s="2" t="s">
        <v>5</v>
      </c>
    </row>
    <row r="7" spans="1:6" x14ac:dyDescent="0.35">
      <c r="A7" s="1" t="s">
        <v>6</v>
      </c>
      <c r="B7" s="2" t="s">
        <v>7</v>
      </c>
    </row>
    <row r="8" spans="1:6" ht="56" x14ac:dyDescent="0.35">
      <c r="A8" s="1" t="s">
        <v>8</v>
      </c>
      <c r="B8" s="2" t="s">
        <v>9</v>
      </c>
    </row>
    <row r="9" spans="1:6" x14ac:dyDescent="0.35">
      <c r="A9" s="1" t="s">
        <v>10</v>
      </c>
      <c r="B9" s="2" t="s">
        <v>11</v>
      </c>
    </row>
    <row r="10" spans="1:6" x14ac:dyDescent="0.35">
      <c r="A10" s="1"/>
      <c r="B10" s="2"/>
    </row>
    <row r="11" spans="1:6" ht="15.5" x14ac:dyDescent="0.35">
      <c r="A11" s="3" t="s">
        <v>12</v>
      </c>
    </row>
    <row r="12" spans="1:6" ht="70" x14ac:dyDescent="0.35">
      <c r="A12" s="1" t="s">
        <v>13</v>
      </c>
      <c r="B12" s="2" t="s">
        <v>14</v>
      </c>
    </row>
    <row r="13" spans="1:6" ht="70" x14ac:dyDescent="0.35">
      <c r="A13" s="1" t="s">
        <v>15</v>
      </c>
      <c r="B13" s="2" t="s">
        <v>16</v>
      </c>
    </row>
    <row r="14" spans="1:6" ht="70" x14ac:dyDescent="0.35">
      <c r="A14" s="1" t="s">
        <v>17</v>
      </c>
      <c r="B14" s="2" t="s">
        <v>18</v>
      </c>
    </row>
    <row r="15" spans="1:6" ht="112" x14ac:dyDescent="0.35">
      <c r="A15" s="1" t="s">
        <v>19</v>
      </c>
      <c r="B15" s="2" t="s">
        <v>20</v>
      </c>
    </row>
    <row r="16" spans="1:6" ht="70" x14ac:dyDescent="0.35">
      <c r="A16" s="1" t="s">
        <v>21</v>
      </c>
      <c r="B16" s="2" t="s">
        <v>22</v>
      </c>
    </row>
    <row r="17" spans="1:2" x14ac:dyDescent="0.35">
      <c r="A17" s="1"/>
      <c r="B17" s="2"/>
    </row>
    <row r="18" spans="1:2" ht="31" x14ac:dyDescent="0.35">
      <c r="A18" s="3" t="s">
        <v>23</v>
      </c>
    </row>
    <row r="19" spans="1:2" ht="56" x14ac:dyDescent="0.35">
      <c r="A19" s="1" t="s">
        <v>24</v>
      </c>
      <c r="B19" s="2" t="s">
        <v>25</v>
      </c>
    </row>
    <row r="20" spans="1:2" ht="56" x14ac:dyDescent="0.35">
      <c r="A20" s="1" t="s">
        <v>26</v>
      </c>
      <c r="B20" s="2" t="s">
        <v>27</v>
      </c>
    </row>
    <row r="21" spans="1:2" ht="56" x14ac:dyDescent="0.35">
      <c r="A21" s="1" t="s">
        <v>28</v>
      </c>
      <c r="B21" s="2" t="s">
        <v>29</v>
      </c>
    </row>
    <row r="22" spans="1:2" ht="70" x14ac:dyDescent="0.35">
      <c r="A22" s="1" t="s">
        <v>30</v>
      </c>
      <c r="B22" s="2" t="s">
        <v>31</v>
      </c>
    </row>
    <row r="23" spans="1:2" ht="140" x14ac:dyDescent="0.35">
      <c r="A23" s="1" t="s">
        <v>32</v>
      </c>
      <c r="B23" s="2" t="s">
        <v>33</v>
      </c>
    </row>
    <row r="24" spans="1:2" x14ac:dyDescent="0.35">
      <c r="A24" s="1"/>
      <c r="B24" s="2"/>
    </row>
    <row r="25" spans="1:2" ht="15.5" x14ac:dyDescent="0.35">
      <c r="A25" s="3" t="s">
        <v>34</v>
      </c>
    </row>
    <row r="26" spans="1:2" ht="126" x14ac:dyDescent="0.35">
      <c r="A26" s="1" t="s">
        <v>35</v>
      </c>
      <c r="B26" s="2" t="s">
        <v>36</v>
      </c>
    </row>
    <row r="27" spans="1:2" ht="196" x14ac:dyDescent="0.35">
      <c r="A27" s="1" t="s">
        <v>37</v>
      </c>
      <c r="B27" s="2" t="s">
        <v>38</v>
      </c>
    </row>
    <row r="28" spans="1:2" ht="182" x14ac:dyDescent="0.35">
      <c r="A28" s="1" t="s">
        <v>39</v>
      </c>
      <c r="B28" s="2" t="s">
        <v>40</v>
      </c>
    </row>
    <row r="29" spans="1:2" ht="84" x14ac:dyDescent="0.35">
      <c r="A29" s="1" t="s">
        <v>41</v>
      </c>
      <c r="B29" s="2" t="s">
        <v>42</v>
      </c>
    </row>
    <row r="30" spans="1:2" x14ac:dyDescent="0.35">
      <c r="A30" s="1"/>
      <c r="B30" s="2"/>
    </row>
    <row r="31" spans="1:2" ht="15.5" x14ac:dyDescent="0.35">
      <c r="A31" s="3" t="s">
        <v>43</v>
      </c>
      <c r="B31" t="s">
        <v>44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topLeftCell="K1" workbookViewId="0">
      <pane ySplit="3" topLeftCell="A12" activePane="bottomLeft" state="frozen"/>
      <selection pane="bottomLeft" activeCell="N15" sqref="N15"/>
    </sheetView>
  </sheetViews>
  <sheetFormatPr defaultRowHeight="14.5" x14ac:dyDescent="0.35"/>
  <cols>
    <col min="1" max="1" width="20" customWidth="1"/>
    <col min="2" max="2" width="12" customWidth="1"/>
    <col min="3" max="4" width="14" customWidth="1"/>
    <col min="5" max="5" width="13" customWidth="1"/>
    <col min="6" max="6" width="16" customWidth="1"/>
    <col min="7" max="7" width="13" customWidth="1"/>
    <col min="8" max="9" width="15" customWidth="1"/>
    <col min="10" max="10" width="18" customWidth="1"/>
    <col min="11" max="11" width="13" customWidth="1"/>
    <col min="12" max="12" width="15" customWidth="1"/>
    <col min="13" max="13" width="16" customWidth="1"/>
    <col min="14" max="14" width="18" customWidth="1"/>
    <col min="15" max="15" width="46" customWidth="1"/>
  </cols>
  <sheetData>
    <row r="1" spans="1:15" ht="30" customHeight="1" x14ac:dyDescent="0.35">
      <c r="A1" s="25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3" spans="1:15" ht="32" customHeight="1" x14ac:dyDescent="0.3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  <c r="O3" s="4" t="s">
        <v>60</v>
      </c>
    </row>
    <row r="4" spans="1:15" ht="58" customHeight="1" x14ac:dyDescent="0.35">
      <c r="A4" s="5" t="s">
        <v>61</v>
      </c>
      <c r="B4" s="6" t="s">
        <v>62</v>
      </c>
      <c r="C4" s="7">
        <v>899</v>
      </c>
      <c r="D4" s="7">
        <f>C4*24</f>
        <v>21576</v>
      </c>
      <c r="E4" s="7">
        <v>13500</v>
      </c>
      <c r="F4" s="7">
        <v>5000</v>
      </c>
      <c r="G4" s="7">
        <f t="shared" ref="G4:G9" si="0">E4-F4</f>
        <v>8500</v>
      </c>
      <c r="H4" s="7">
        <f t="shared" ref="H4:H9" si="1">G4/24</f>
        <v>354.16666666666669</v>
      </c>
      <c r="I4" s="7">
        <v>7500</v>
      </c>
      <c r="J4" s="7">
        <v>2500</v>
      </c>
      <c r="K4" s="7">
        <f>I4-J4</f>
        <v>5000</v>
      </c>
      <c r="L4" s="7">
        <f>K4/24</f>
        <v>208.33333333333334</v>
      </c>
      <c r="M4" s="8" t="s">
        <v>63</v>
      </c>
      <c r="N4" s="9">
        <f t="shared" ref="N4:N13" si="2">IF(M4="Rent",IF(ISNUMBER(C4),C4,"N/A"),IF(M4="Buy New",IF(ISNUMBER(H4),H4,"N/A"),IF(M4="Buy Second-Hand",IF(ISNUMBER(L4),L4,"N/A"),IF(M4="Subscription (no buy option)",IF(ISNUMBER(C4),C4,"N/A"),"N/A"))))</f>
        <v>208.33333333333334</v>
      </c>
      <c r="O4" s="5" t="s">
        <v>64</v>
      </c>
    </row>
    <row r="5" spans="1:15" ht="58" customHeight="1" x14ac:dyDescent="0.35">
      <c r="A5" s="10" t="s">
        <v>65</v>
      </c>
      <c r="B5" s="11" t="s">
        <v>66</v>
      </c>
      <c r="C5" s="12" t="s">
        <v>67</v>
      </c>
      <c r="D5" s="12" t="s">
        <v>67</v>
      </c>
      <c r="E5" s="13">
        <v>4000</v>
      </c>
      <c r="F5" s="13">
        <v>0</v>
      </c>
      <c r="G5" s="13">
        <f t="shared" si="0"/>
        <v>4000</v>
      </c>
      <c r="H5" s="13">
        <f t="shared" si="1"/>
        <v>166.66666666666666</v>
      </c>
      <c r="I5" s="12" t="s">
        <v>67</v>
      </c>
      <c r="J5" s="12" t="s">
        <v>67</v>
      </c>
      <c r="K5" s="12" t="s">
        <v>67</v>
      </c>
      <c r="L5" s="12" t="s">
        <v>67</v>
      </c>
      <c r="M5" s="8" t="s">
        <v>68</v>
      </c>
      <c r="N5" s="9">
        <f t="shared" si="2"/>
        <v>166.66666666666666</v>
      </c>
      <c r="O5" s="10" t="s">
        <v>69</v>
      </c>
    </row>
    <row r="6" spans="1:15" ht="58" customHeight="1" x14ac:dyDescent="0.35">
      <c r="A6" s="5" t="s">
        <v>70</v>
      </c>
      <c r="B6" s="6" t="s">
        <v>71</v>
      </c>
      <c r="C6" s="14" t="s">
        <v>67</v>
      </c>
      <c r="D6" s="14" t="s">
        <v>67</v>
      </c>
      <c r="E6" s="7">
        <v>1500</v>
      </c>
      <c r="F6" s="7">
        <v>0</v>
      </c>
      <c r="G6" s="7">
        <f t="shared" si="0"/>
        <v>1500</v>
      </c>
      <c r="H6" s="7">
        <f t="shared" si="1"/>
        <v>62.5</v>
      </c>
      <c r="I6" s="14" t="s">
        <v>67</v>
      </c>
      <c r="J6" s="14" t="s">
        <v>67</v>
      </c>
      <c r="K6" s="14" t="s">
        <v>67</v>
      </c>
      <c r="L6" s="14" t="s">
        <v>67</v>
      </c>
      <c r="M6" s="8" t="s">
        <v>68</v>
      </c>
      <c r="N6" s="9">
        <f t="shared" si="2"/>
        <v>62.5</v>
      </c>
      <c r="O6" s="5" t="s">
        <v>72</v>
      </c>
    </row>
    <row r="7" spans="1:15" ht="58" customHeight="1" x14ac:dyDescent="0.35">
      <c r="A7" s="10" t="s">
        <v>73</v>
      </c>
      <c r="B7" s="11" t="s">
        <v>74</v>
      </c>
      <c r="C7" s="13">
        <v>799</v>
      </c>
      <c r="D7" s="13">
        <f>C7*24</f>
        <v>19176</v>
      </c>
      <c r="E7" s="13">
        <v>9000</v>
      </c>
      <c r="F7" s="13">
        <v>3000</v>
      </c>
      <c r="G7" s="13">
        <f t="shared" si="0"/>
        <v>6000</v>
      </c>
      <c r="H7" s="13">
        <f t="shared" si="1"/>
        <v>250</v>
      </c>
      <c r="I7" s="13">
        <v>5000</v>
      </c>
      <c r="J7" s="13">
        <v>1500</v>
      </c>
      <c r="K7" s="13">
        <f>I7-J7</f>
        <v>3500</v>
      </c>
      <c r="L7" s="13">
        <f>K7/24</f>
        <v>145.83333333333334</v>
      </c>
      <c r="M7" s="8" t="s">
        <v>63</v>
      </c>
      <c r="N7" s="9">
        <f t="shared" si="2"/>
        <v>145.83333333333334</v>
      </c>
      <c r="O7" s="10" t="s">
        <v>75</v>
      </c>
    </row>
    <row r="8" spans="1:15" ht="58" customHeight="1" x14ac:dyDescent="0.35">
      <c r="A8" s="5" t="s">
        <v>76</v>
      </c>
      <c r="B8" s="6" t="s">
        <v>71</v>
      </c>
      <c r="C8" s="14" t="s">
        <v>67</v>
      </c>
      <c r="D8" s="14" t="s">
        <v>67</v>
      </c>
      <c r="E8" s="7">
        <v>4000</v>
      </c>
      <c r="F8" s="7">
        <v>0</v>
      </c>
      <c r="G8" s="7">
        <f t="shared" si="0"/>
        <v>4000</v>
      </c>
      <c r="H8" s="7">
        <f t="shared" si="1"/>
        <v>166.66666666666666</v>
      </c>
      <c r="I8" s="14" t="s">
        <v>67</v>
      </c>
      <c r="J8" s="14" t="s">
        <v>67</v>
      </c>
      <c r="K8" s="14" t="s">
        <v>67</v>
      </c>
      <c r="L8" s="14" t="s">
        <v>67</v>
      </c>
      <c r="M8" s="8" t="s">
        <v>68</v>
      </c>
      <c r="N8" s="9">
        <f t="shared" si="2"/>
        <v>166.66666666666666</v>
      </c>
      <c r="O8" s="5" t="s">
        <v>77</v>
      </c>
    </row>
    <row r="9" spans="1:15" ht="58" customHeight="1" x14ac:dyDescent="0.35">
      <c r="A9" s="10" t="s">
        <v>78</v>
      </c>
      <c r="B9" s="11" t="s">
        <v>79</v>
      </c>
      <c r="C9" s="13">
        <v>899</v>
      </c>
      <c r="D9" s="13">
        <f>C9*24</f>
        <v>21576</v>
      </c>
      <c r="E9" s="13">
        <v>10500</v>
      </c>
      <c r="F9" s="13">
        <v>4000</v>
      </c>
      <c r="G9" s="13">
        <f t="shared" si="0"/>
        <v>6500</v>
      </c>
      <c r="H9" s="13">
        <f t="shared" si="1"/>
        <v>270.83333333333331</v>
      </c>
      <c r="I9" s="13">
        <v>8500</v>
      </c>
      <c r="J9" s="13">
        <v>3000</v>
      </c>
      <c r="K9" s="13">
        <f>I9-J9</f>
        <v>5500</v>
      </c>
      <c r="L9" s="13">
        <f>K9/24</f>
        <v>229.16666666666666</v>
      </c>
      <c r="M9" s="8" t="s">
        <v>63</v>
      </c>
      <c r="N9" s="9">
        <f t="shared" si="2"/>
        <v>229.16666666666666</v>
      </c>
      <c r="O9" s="10" t="s">
        <v>80</v>
      </c>
    </row>
    <row r="10" spans="1:15" ht="58" customHeight="1" x14ac:dyDescent="0.35">
      <c r="A10" s="5" t="s">
        <v>81</v>
      </c>
      <c r="B10" s="6" t="s">
        <v>82</v>
      </c>
      <c r="C10" s="7">
        <v>999</v>
      </c>
      <c r="D10" s="7">
        <f>C10*24</f>
        <v>23976</v>
      </c>
      <c r="E10" s="14" t="s">
        <v>67</v>
      </c>
      <c r="F10" s="14" t="s">
        <v>67</v>
      </c>
      <c r="G10" s="14" t="s">
        <v>67</v>
      </c>
      <c r="H10" s="14" t="s">
        <v>67</v>
      </c>
      <c r="I10" s="14" t="s">
        <v>67</v>
      </c>
      <c r="J10" s="14" t="s">
        <v>67</v>
      </c>
      <c r="K10" s="14" t="s">
        <v>67</v>
      </c>
      <c r="L10" s="14" t="s">
        <v>67</v>
      </c>
      <c r="M10" s="8" t="s">
        <v>83</v>
      </c>
      <c r="N10" s="9">
        <f t="shared" si="2"/>
        <v>999</v>
      </c>
      <c r="O10" s="5" t="s">
        <v>84</v>
      </c>
    </row>
    <row r="11" spans="1:15" ht="58" customHeight="1" x14ac:dyDescent="0.35">
      <c r="A11" s="10" t="s">
        <v>85</v>
      </c>
      <c r="B11" s="11" t="s">
        <v>74</v>
      </c>
      <c r="C11" s="13">
        <v>1398</v>
      </c>
      <c r="D11" s="13">
        <f>C11*24</f>
        <v>33552</v>
      </c>
      <c r="E11" s="13">
        <v>19000</v>
      </c>
      <c r="F11" s="13">
        <v>7000</v>
      </c>
      <c r="G11" s="13">
        <f>E11-F11</f>
        <v>12000</v>
      </c>
      <c r="H11" s="13">
        <f>G11/24</f>
        <v>500</v>
      </c>
      <c r="I11" s="13">
        <v>8500</v>
      </c>
      <c r="J11" s="13">
        <v>3000</v>
      </c>
      <c r="K11" s="13">
        <f>I11-J11</f>
        <v>5500</v>
      </c>
      <c r="L11" s="13">
        <f>K11/24</f>
        <v>229.16666666666666</v>
      </c>
      <c r="M11" s="8" t="s">
        <v>63</v>
      </c>
      <c r="N11" s="9">
        <f t="shared" si="2"/>
        <v>229.16666666666666</v>
      </c>
      <c r="O11" s="10" t="s">
        <v>86</v>
      </c>
    </row>
    <row r="12" spans="1:15" ht="58" customHeight="1" x14ac:dyDescent="0.35">
      <c r="A12" s="5" t="s">
        <v>87</v>
      </c>
      <c r="B12" s="6" t="s">
        <v>62</v>
      </c>
      <c r="C12" s="14" t="s">
        <v>67</v>
      </c>
      <c r="D12" s="14" t="s">
        <v>67</v>
      </c>
      <c r="E12" s="7">
        <v>2200</v>
      </c>
      <c r="F12" s="7">
        <v>500</v>
      </c>
      <c r="G12" s="7">
        <f>E12-F12</f>
        <v>1700</v>
      </c>
      <c r="H12" s="7">
        <f>G12/24</f>
        <v>70.833333333333329</v>
      </c>
      <c r="I12" s="7">
        <v>1200</v>
      </c>
      <c r="J12" s="7">
        <v>300</v>
      </c>
      <c r="K12" s="7">
        <f>I12-J12</f>
        <v>900</v>
      </c>
      <c r="L12" s="7">
        <f>K12/24</f>
        <v>37.5</v>
      </c>
      <c r="M12" s="8" t="s">
        <v>68</v>
      </c>
      <c r="N12" s="9">
        <f t="shared" si="2"/>
        <v>70.833333333333329</v>
      </c>
      <c r="O12" s="5" t="s">
        <v>88</v>
      </c>
    </row>
    <row r="13" spans="1:15" ht="58" customHeight="1" x14ac:dyDescent="0.35">
      <c r="A13" s="10" t="s">
        <v>89</v>
      </c>
      <c r="B13" s="11" t="s">
        <v>62</v>
      </c>
      <c r="C13" s="13">
        <v>349</v>
      </c>
      <c r="D13" s="13">
        <f>C13*24</f>
        <v>8376</v>
      </c>
      <c r="E13" s="13">
        <v>10500</v>
      </c>
      <c r="F13" s="13">
        <v>3000</v>
      </c>
      <c r="G13" s="13">
        <f>E13-F13</f>
        <v>7500</v>
      </c>
      <c r="H13" s="13">
        <f>G13/24</f>
        <v>312.5</v>
      </c>
      <c r="I13" s="13">
        <v>5000</v>
      </c>
      <c r="J13" s="13">
        <v>1500</v>
      </c>
      <c r="K13" s="13">
        <f>I13-J13</f>
        <v>3500</v>
      </c>
      <c r="L13" s="13">
        <f>K13/24</f>
        <v>145.83333333333334</v>
      </c>
      <c r="M13" s="8" t="s">
        <v>90</v>
      </c>
      <c r="N13" s="9">
        <f t="shared" si="2"/>
        <v>349</v>
      </c>
      <c r="O13" s="10" t="s">
        <v>91</v>
      </c>
    </row>
    <row r="15" spans="1:15" x14ac:dyDescent="0.35">
      <c r="A15" s="27" t="s">
        <v>92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  <c r="N15" s="15">
        <f>SUM(N4:N13)</f>
        <v>2627.1666666666665</v>
      </c>
      <c r="O15" s="16"/>
    </row>
  </sheetData>
  <mergeCells count="2">
    <mergeCell ref="A1:O1"/>
    <mergeCell ref="A15:M15"/>
  </mergeCells>
  <conditionalFormatting sqref="C4">
    <cfRule type="cellIs" dxfId="9" priority="1" operator="equal">
      <formula>$M$4</formula>
    </cfRule>
  </conditionalFormatting>
  <conditionalFormatting sqref="C5">
    <cfRule type="cellIs" dxfId="8" priority="2" operator="equal">
      <formula>$M$5</formula>
    </cfRule>
  </conditionalFormatting>
  <conditionalFormatting sqref="C6">
    <cfRule type="cellIs" dxfId="7" priority="3" operator="equal">
      <formula>$M$6</formula>
    </cfRule>
  </conditionalFormatting>
  <conditionalFormatting sqref="C7">
    <cfRule type="cellIs" dxfId="6" priority="4" operator="equal">
      <formula>$M$7</formula>
    </cfRule>
  </conditionalFormatting>
  <conditionalFormatting sqref="C8">
    <cfRule type="cellIs" dxfId="5" priority="5" operator="equal">
      <formula>$M$8</formula>
    </cfRule>
  </conditionalFormatting>
  <conditionalFormatting sqref="C9">
    <cfRule type="cellIs" dxfId="4" priority="6" operator="equal">
      <formula>$M$9</formula>
    </cfRule>
  </conditionalFormatting>
  <conditionalFormatting sqref="C10">
    <cfRule type="cellIs" dxfId="3" priority="7" operator="equal">
      <formula>$M$10</formula>
    </cfRule>
  </conditionalFormatting>
  <conditionalFormatting sqref="C11">
    <cfRule type="cellIs" dxfId="2" priority="8" operator="equal">
      <formula>$M$11</formula>
    </cfRule>
  </conditionalFormatting>
  <conditionalFormatting sqref="C12">
    <cfRule type="cellIs" dxfId="1" priority="9" operator="equal">
      <formula>$M$12</formula>
    </cfRule>
  </conditionalFormatting>
  <conditionalFormatting sqref="C13">
    <cfRule type="cellIs" dxfId="0" priority="10" operator="equal">
      <formula>$M$13</formula>
    </cfRule>
  </conditionalFormatting>
  <dataValidations count="1">
    <dataValidation type="list" sqref="M4:M13" xr:uid="{00000000-0002-0000-0100-000000000000}">
      <formula1>"Rent,Buy New,Buy Second-Hand,Subscription (no buy option)"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selection activeCell="C10" sqref="C10"/>
    </sheetView>
  </sheetViews>
  <sheetFormatPr defaultRowHeight="14.5" x14ac:dyDescent="0.35"/>
  <cols>
    <col min="1" max="1" width="38" customWidth="1"/>
    <col min="2" max="3" width="18" customWidth="1"/>
    <col min="4" max="4" width="40" customWidth="1"/>
  </cols>
  <sheetData>
    <row r="1" spans="1:4" ht="30" customHeight="1" x14ac:dyDescent="0.35">
      <c r="A1" s="25" t="s">
        <v>93</v>
      </c>
      <c r="B1" s="26"/>
      <c r="C1" s="26"/>
      <c r="D1" s="26"/>
    </row>
    <row r="3" spans="1:4" ht="25" x14ac:dyDescent="0.35">
      <c r="A3" s="17" t="s">
        <v>94</v>
      </c>
      <c r="B3" s="18">
        <v>3</v>
      </c>
      <c r="C3" s="19"/>
      <c r="D3" s="20" t="s">
        <v>95</v>
      </c>
    </row>
    <row r="4" spans="1:4" x14ac:dyDescent="0.35">
      <c r="A4" s="17" t="s">
        <v>96</v>
      </c>
      <c r="B4" s="18">
        <v>62000</v>
      </c>
      <c r="C4" s="19"/>
      <c r="D4" s="19"/>
    </row>
    <row r="5" spans="1:4" x14ac:dyDescent="0.35">
      <c r="A5" s="17" t="s">
        <v>97</v>
      </c>
      <c r="B5" s="18">
        <f>B4/B3</f>
        <v>20666.666666666668</v>
      </c>
      <c r="C5" s="19"/>
      <c r="D5" s="19"/>
    </row>
    <row r="6" spans="1:4" x14ac:dyDescent="0.35">
      <c r="A6" s="10"/>
      <c r="B6" s="21"/>
      <c r="C6" s="19"/>
      <c r="D6" s="19"/>
    </row>
    <row r="7" spans="1:4" ht="28" x14ac:dyDescent="0.35">
      <c r="A7" s="17" t="s">
        <v>98</v>
      </c>
      <c r="B7" s="18">
        <f>'Item Comparison'!N15</f>
        <v>2627.1666666666665</v>
      </c>
      <c r="C7" s="19"/>
      <c r="D7" s="20" t="s">
        <v>99</v>
      </c>
    </row>
    <row r="8" spans="1:4" ht="28" x14ac:dyDescent="0.35">
      <c r="A8" s="17" t="s">
        <v>100</v>
      </c>
      <c r="B8" s="18">
        <f>B7/B3</f>
        <v>875.72222222222217</v>
      </c>
      <c r="C8" s="19"/>
      <c r="D8" s="19"/>
    </row>
    <row r="9" spans="1:4" x14ac:dyDescent="0.35">
      <c r="A9" s="10"/>
      <c r="B9" s="21"/>
      <c r="C9" s="19"/>
      <c r="D9" s="19"/>
    </row>
    <row r="10" spans="1:4" ht="31" x14ac:dyDescent="0.35">
      <c r="A10" s="22" t="s">
        <v>101</v>
      </c>
      <c r="B10" s="23">
        <f>B5+B8</f>
        <v>21542.388888888891</v>
      </c>
      <c r="C10" s="19"/>
      <c r="D10" s="20" t="s">
        <v>102</v>
      </c>
    </row>
    <row r="11" spans="1:4" x14ac:dyDescent="0.35">
      <c r="A11" s="10"/>
      <c r="B11" s="21"/>
      <c r="C11" s="19"/>
      <c r="D11" s="19"/>
    </row>
    <row r="12" spans="1:4" ht="28" x14ac:dyDescent="0.35">
      <c r="A12" s="17" t="s">
        <v>103</v>
      </c>
      <c r="B12" s="18" t="e">
        <f>SUMPRODUCT((( 'Item Comparison'!M4:M13="Buy New")*IF(ISNUMBER('Item Comparison'!E4:E13),'Item Comparison'!E4:E13,0)))+SUMPRODUCT((('Item Comparison'!M4:M13="Buy Second-Hand")*IF(ISNUMBER('Item Comparison'!I4:I13),'Item Comparison'!I4:I13,0)))</f>
        <v>#VALUE!</v>
      </c>
      <c r="C12" s="19"/>
      <c r="D12" s="20" t="s">
        <v>104</v>
      </c>
    </row>
    <row r="13" spans="1:4" x14ac:dyDescent="0.35">
      <c r="A13" s="17" t="s">
        <v>105</v>
      </c>
      <c r="B13" s="18" t="e">
        <f>B12/B3</f>
        <v>#VALUE!</v>
      </c>
      <c r="C13" s="19"/>
      <c r="D13" s="19"/>
    </row>
    <row r="16" spans="1:4" ht="15.5" x14ac:dyDescent="0.35">
      <c r="A16" s="24" t="s">
        <v>106</v>
      </c>
    </row>
    <row r="17" spans="1:4" x14ac:dyDescent="0.35">
      <c r="A17" s="30" t="s">
        <v>107</v>
      </c>
      <c r="B17" s="26"/>
      <c r="C17" s="26"/>
      <c r="D17" s="26"/>
    </row>
    <row r="18" spans="1:4" x14ac:dyDescent="0.35">
      <c r="A18" s="30" t="s">
        <v>108</v>
      </c>
      <c r="B18" s="26"/>
      <c r="C18" s="26"/>
      <c r="D18" s="26"/>
    </row>
    <row r="19" spans="1:4" x14ac:dyDescent="0.35">
      <c r="A19" s="30" t="s">
        <v>109</v>
      </c>
      <c r="B19" s="26"/>
      <c r="C19" s="26"/>
      <c r="D19" s="26"/>
    </row>
    <row r="20" spans="1:4" x14ac:dyDescent="0.35">
      <c r="A20" s="30" t="s">
        <v>110</v>
      </c>
      <c r="B20" s="26"/>
      <c r="C20" s="26"/>
      <c r="D20" s="26"/>
    </row>
    <row r="21" spans="1:4" x14ac:dyDescent="0.35">
      <c r="A21" s="30" t="s">
        <v>111</v>
      </c>
      <c r="B21" s="26"/>
      <c r="C21" s="26"/>
      <c r="D21" s="26"/>
    </row>
  </sheetData>
  <mergeCells count="6">
    <mergeCell ref="A1:D1"/>
    <mergeCell ref="A17:D17"/>
    <mergeCell ref="A18:D18"/>
    <mergeCell ref="A20:D20"/>
    <mergeCell ref="A21:D21"/>
    <mergeCell ref="A19:D1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&amp; Assumptions</vt:lpstr>
      <vt:lpstr>Item Comparison</vt:lpstr>
      <vt:lpstr>Summary &amp;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Shah, Jahaan</cp:lastModifiedBy>
  <dcterms:created xsi:type="dcterms:W3CDTF">2026-07-12T14:01:57Z</dcterms:created>
  <dcterms:modified xsi:type="dcterms:W3CDTF">2026-07-12T14:08:12Z</dcterms:modified>
</cp:coreProperties>
</file>